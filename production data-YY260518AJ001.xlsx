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0" sheetId="13" r:id="rId1"/>
  </sheets>
  <definedNames>
    <definedName name="_xlnm._FilterDatabase" localSheetId="0" hidden="1">'0'!$A$7:$P$36</definedName>
    <definedName name="_xlnm.Print_Area" localSheetId="0">'0'!$A$1:$J$35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<sst xmlns="http://schemas.openxmlformats.org/spreadsheetml/2006/main" count="48" uniqueCount="25">
  <si>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Fujian Youyi Adhesive Tape Group Co., Ltd</t>
  </si>
  <si>
    <t>YOUYI GROUP INDUSTRIAL PARK, JIANGYIN ECONOMIC ZONE, FUQING CITY, FUJIAN PROVINCE</t>
  </si>
  <si>
    <t>Mobile: 86-15260133952   Tel: 86-591-86556381            Fax: 86-591-86013709</t>
  </si>
  <si>
    <t>Container NO.:MSKU0275153</t>
  </si>
  <si>
    <t>Seal No.:CN1710177</t>
  </si>
  <si>
    <t>Production Time:  2026/6/22</t>
  </si>
  <si>
    <t>PI NO.:YY260518AJ001</t>
  </si>
  <si>
    <t>PRODUCTION DATA</t>
  </si>
  <si>
    <t>NO.</t>
  </si>
  <si>
    <t>thickness</t>
  </si>
  <si>
    <t>Color</t>
  </si>
  <si>
    <t>Size</t>
  </si>
  <si>
    <t>N.W/KG</t>
  </si>
  <si>
    <t>G.W/KG</t>
  </si>
  <si>
    <t>Length/m</t>
  </si>
  <si>
    <t>Square/m2</t>
  </si>
  <si>
    <t>Price/USD</t>
  </si>
  <si>
    <t>Remark</t>
  </si>
  <si>
    <t>CLEAR</t>
  </si>
  <si>
    <t>22 PALLETS</t>
  </si>
  <si>
    <t>1 PALLET</t>
  </si>
  <si>
    <t>PALLETS WEIGHT</t>
  </si>
  <si>
    <t>TOTAL</t>
  </si>
  <si>
    <t>ROLLS</t>
  </si>
  <si>
    <t>23PALLETS=24ROLLS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</si>
</sst>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  <numFmt numFmtId="178" formatCode="0.0_);[Red]\(0.0\)"/>
    <numFmt numFmtId="179" formatCode="0.00_);\(0.00\)"/>
    <numFmt numFmtId="180" formatCode="0_);[Red]\(0\)"/>
    <numFmt numFmtId="181" formatCode="0.00_);[Red]\(0.00\)"/>
    <numFmt numFmtId="182" formatCode="\$#,##0.000_);[Red]\(\$#,##0.000\)"/>
  </numFmts>
  <fonts count="36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b/>
      <sz val="18"/>
      <name val="Arial"/>
      <charset val="134"/>
    </font>
    <font>
      <sz val="11"/>
      <name val="宋体"/>
      <charset val="134"/>
    </font>
    <font>
      <sz val="11"/>
      <color indexed="0"/>
      <name val="宋体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8"/>
      <name val="Arial"/>
      <charset val="134"/>
    </font>
    <font>
      <u/>
      <sz val="12"/>
      <color indexed="4"/>
      <name val="宋体"/>
      <charset val="134"/>
    </font>
    <font>
      <b/>
      <sz val="11"/>
      <color indexed="0"/>
      <name val="Arial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b/>
      <sz val="10"/>
      <color rgb="FFFF0000"/>
      <name val="Arial"/>
      <charset val="134"/>
    </font>
    <font>
      <b/>
      <sz val="10"/>
      <color indexed="8"/>
      <name val="Arial"/>
      <charset val="134"/>
    </font>
    <font>
      <b/>
      <sz val="12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1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center" vertical="top" wrapText="1"/>
    </xf>
    <xf numFmtId="177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178" fontId="6" fillId="0" borderId="0" xfId="0" applyNumberFormat="1" applyFont="1" applyFill="1" applyBorder="1" applyAlignment="1"/>
    <xf numFmtId="178" fontId="1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top" wrapText="1"/>
    </xf>
    <xf numFmtId="176" fontId="7" fillId="0" borderId="0" xfId="0" applyNumberFormat="1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 applyProtection="1">
      <alignment horizontal="left" vertical="center" shrinkToFit="1"/>
      <protection locked="0"/>
    </xf>
    <xf numFmtId="176" fontId="8" fillId="0" borderId="0" xfId="0" applyNumberFormat="1" applyFont="1" applyFill="1" applyAlignment="1" applyProtection="1">
      <alignment horizontal="left" vertical="center" shrinkToFit="1"/>
      <protection locked="0"/>
    </xf>
    <xf numFmtId="176" fontId="8" fillId="0" borderId="0" xfId="0" applyNumberFormat="1" applyFont="1" applyFill="1" applyAlignment="1" applyProtection="1">
      <alignment horizontal="left" vertical="center" wrapText="1" shrinkToFit="1"/>
      <protection locked="0"/>
    </xf>
    <xf numFmtId="0" fontId="8" fillId="0" borderId="0" xfId="0" applyFont="1" applyFill="1" applyAlignment="1" applyProtection="1">
      <alignment horizontal="left" vertical="center" wrapText="1" shrinkToFit="1"/>
      <protection locked="0"/>
    </xf>
    <xf numFmtId="176" fontId="8" fillId="0" borderId="0" xfId="0" applyNumberFormat="1" applyFont="1" applyFill="1" applyAlignment="1" applyProtection="1">
      <alignment horizontal="center" vertical="center" wrapText="1" shrinkToFit="1"/>
      <protection locked="0"/>
    </xf>
    <xf numFmtId="177" fontId="8" fillId="0" borderId="0" xfId="0" applyNumberFormat="1" applyFont="1" applyFill="1" applyAlignment="1" applyProtection="1">
      <alignment horizontal="left" vertical="center" wrapText="1" shrinkToFit="1"/>
      <protection locked="0"/>
    </xf>
    <xf numFmtId="0" fontId="6" fillId="0" borderId="0" xfId="0" applyFont="1" applyFill="1" applyBorder="1" applyAlignment="1" applyProtection="1">
      <alignment vertical="center" shrinkToFit="1"/>
      <protection locked="0"/>
    </xf>
    <xf numFmtId="178" fontId="6" fillId="0" borderId="0" xfId="0" applyNumberFormat="1" applyFont="1" applyFill="1" applyBorder="1" applyAlignment="1" applyProtection="1">
      <alignment vertical="center" shrinkToFit="1"/>
      <protection locked="0"/>
    </xf>
    <xf numFmtId="179" fontId="8" fillId="0" borderId="0" xfId="0" applyNumberFormat="1" applyFont="1" applyFill="1" applyAlignment="1" applyProtection="1">
      <alignment horizontal="left" vertical="center" shrinkToFit="1"/>
      <protection locked="0"/>
    </xf>
    <xf numFmtId="176" fontId="8" fillId="0" borderId="0" xfId="0" applyNumberFormat="1" applyFont="1" applyFill="1" applyAlignment="1" applyProtection="1">
      <alignment horizontal="center" vertical="center" shrinkToFit="1"/>
      <protection locked="0"/>
    </xf>
    <xf numFmtId="177" fontId="8" fillId="0" borderId="0" xfId="0" applyNumberFormat="1" applyFont="1" applyFill="1" applyAlignment="1" applyProtection="1">
      <alignment horizontal="left" vertical="center" shrinkToFit="1"/>
      <protection locked="0"/>
    </xf>
    <xf numFmtId="0" fontId="9" fillId="0" borderId="0" xfId="0" applyFont="1" applyFill="1" applyBorder="1" applyAlignment="1" applyProtection="1">
      <alignment horizontal="center" vertical="center" shrinkToFit="1"/>
      <protection locked="0"/>
    </xf>
    <xf numFmtId="176" fontId="9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Fill="1" applyBorder="1" applyAlignment="1" applyProtection="1">
      <alignment vertical="center" shrinkToFit="1"/>
      <protection locked="0"/>
    </xf>
    <xf numFmtId="0" fontId="11" fillId="0" borderId="1" xfId="0" applyFont="1" applyFill="1" applyBorder="1" applyAlignment="1" applyProtection="1">
      <alignment horizontal="center" vertical="center" shrinkToFit="1"/>
      <protection locked="0"/>
    </xf>
    <xf numFmtId="180" fontId="1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1" fillId="0" borderId="1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 applyProtection="1">
      <alignment horizontal="center" vertical="center" shrinkToFit="1"/>
      <protection locked="0"/>
    </xf>
    <xf numFmtId="176" fontId="11" fillId="0" borderId="1" xfId="0" applyNumberFormat="1" applyFont="1" applyFill="1" applyBorder="1" applyAlignment="1" applyProtection="1">
      <alignment horizontal="center" vertical="center" shrinkToFit="1"/>
      <protection locked="0"/>
    </xf>
    <xf numFmtId="181" fontId="11" fillId="0" borderId="2" xfId="0" applyNumberFormat="1" applyFont="1" applyFill="1" applyBorder="1" applyAlignment="1" applyProtection="1">
      <alignment horizontal="center" vertical="center" shrinkToFit="1"/>
      <protection locked="0"/>
    </xf>
    <xf numFmtId="176" fontId="11" fillId="0" borderId="2" xfId="0" applyNumberFormat="1" applyFont="1" applyFill="1" applyBorder="1" applyAlignment="1" applyProtection="1">
      <alignment horizontal="center" vertical="center" shrinkToFit="1"/>
      <protection locked="0"/>
    </xf>
    <xf numFmtId="177" fontId="11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0" applyFont="1" applyFill="1" applyBorder="1" applyAlignment="1" applyProtection="1">
      <alignment horizontal="center" vertical="center" shrinkToFit="1"/>
      <protection locked="0"/>
    </xf>
    <xf numFmtId="0" fontId="12" fillId="0" borderId="3" xfId="0" applyFont="1" applyFill="1" applyBorder="1" applyAlignment="1" applyProtection="1">
      <alignment horizontal="center" vertical="center" wrapText="1"/>
      <protection locked="0"/>
    </xf>
    <xf numFmtId="1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182" fontId="12" fillId="0" borderId="1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 applyProtection="1">
      <alignment horizontal="center" vertical="center" wrapText="1"/>
      <protection locked="0"/>
    </xf>
    <xf numFmtId="176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177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horizontal="left" vertical="center" wrapText="1"/>
      <protection locked="0"/>
    </xf>
    <xf numFmtId="1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182" fontId="14" fillId="0" borderId="1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 applyProtection="1">
      <alignment horizontal="center" vertical="center" wrapText="1"/>
      <protection locked="0"/>
    </xf>
    <xf numFmtId="176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176" fontId="14" fillId="0" borderId="4" xfId="0" applyNumberFormat="1" applyFont="1" applyFill="1" applyBorder="1" applyAlignment="1" applyProtection="1">
      <alignment horizontal="right" vertical="center" wrapText="1"/>
      <protection locked="0"/>
    </xf>
    <xf numFmtId="176" fontId="14" fillId="0" borderId="5" xfId="0" applyNumberFormat="1" applyFont="1" applyFill="1" applyBorder="1" applyAlignment="1" applyProtection="1">
      <alignment horizontal="right" vertical="center" wrapText="1"/>
      <protection locked="0"/>
    </xf>
    <xf numFmtId="0" fontId="15" fillId="2" borderId="3" xfId="0" applyFont="1" applyFill="1" applyBorder="1" applyAlignment="1" applyProtection="1">
      <alignment horizontal="center" vertical="center" wrapText="1"/>
      <protection locked="0"/>
    </xf>
    <xf numFmtId="1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182" fontId="15" fillId="2" borderId="1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181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26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9525</xdr:colOff>
      <xdr:row>0</xdr:row>
      <xdr:rowOff>9525</xdr:rowOff>
    </xdr:from>
    <xdr:to>
      <xdr:col>13</xdr:col>
      <xdr:colOff>458470</xdr:colOff>
      <xdr:row>7</xdr:row>
      <xdr:rowOff>12065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7900" y="9525"/>
          <a:ext cx="2096770" cy="193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476250</xdr:colOff>
      <xdr:row>0</xdr:row>
      <xdr:rowOff>9525</xdr:rowOff>
    </xdr:from>
    <xdr:to>
      <xdr:col>17</xdr:col>
      <xdr:colOff>456565</xdr:colOff>
      <xdr:row>6</xdr:row>
      <xdr:rowOff>83185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82450" y="9525"/>
          <a:ext cx="2418715" cy="1704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pane xSplit="10" ySplit="7" topLeftCell="K17" activePane="bottomRight" state="frozenSplit"/>
      <selection/>
      <selection pane="topRight"/>
      <selection pane="bottomLeft"/>
      <selection pane="bottomRight" activeCell="F36" sqref="F36"/>
    </sheetView>
  </sheetViews>
  <sheetFormatPr defaultColWidth="8" defaultRowHeight="18" customHeight="1"/>
  <cols>
    <col min="1" max="1" width="15.375" style="4" customWidth="1"/>
    <col min="2" max="2" width="10.625" style="4" customWidth="1"/>
    <col min="3" max="3" width="15.875" style="4" customWidth="1"/>
    <col min="4" max="4" width="11.75" style="4" customWidth="1"/>
    <col min="5" max="5" width="9.875" style="5" customWidth="1"/>
    <col min="6" max="6" width="9.25" style="5" customWidth="1"/>
    <col min="7" max="7" width="10.875" style="4" customWidth="1"/>
    <col min="8" max="8" width="12.25" style="5" customWidth="1"/>
    <col min="9" max="9" width="14.75" style="6" customWidth="1"/>
    <col min="10" max="10" width="18.75" style="7" customWidth="1"/>
    <col min="11" max="11" width="8" style="4"/>
    <col min="12" max="12" width="5.625" style="4" customWidth="1"/>
    <col min="13" max="16384" width="8" style="4"/>
  </cols>
  <sheetData>
    <row r="1" s="1" customFormat="1" ht="27.75" customHeight="1" spans="1:16">
      <c r="A1" s="8" t="s">
        <v>0</v>
      </c>
      <c r="B1" s="9"/>
      <c r="C1" s="8"/>
      <c r="D1" s="8"/>
      <c r="E1" s="10"/>
      <c r="F1" s="10"/>
      <c r="G1" s="8"/>
      <c r="H1" s="11"/>
      <c r="I1" s="8"/>
      <c r="J1" s="12"/>
      <c r="K1" s="13"/>
      <c r="L1" s="14"/>
      <c r="M1" s="14"/>
      <c r="N1" s="13"/>
      <c r="P1" s="15"/>
    </row>
    <row r="2" s="1" customFormat="1" ht="21.95" customHeight="1" spans="1:16">
      <c r="A2" s="16" t="s">
        <v>1</v>
      </c>
      <c r="B2" s="9"/>
      <c r="C2" s="16"/>
      <c r="D2" s="16"/>
      <c r="E2" s="10"/>
      <c r="F2" s="10"/>
      <c r="G2" s="16"/>
      <c r="H2" s="17"/>
      <c r="I2" s="16"/>
      <c r="J2" s="12"/>
      <c r="K2" s="13"/>
      <c r="L2" s="14"/>
      <c r="M2" s="14"/>
      <c r="N2" s="13"/>
    </row>
    <row r="3" s="1" customFormat="1" ht="25.5" customHeight="1" spans="1:16">
      <c r="A3" s="18" t="s">
        <v>2</v>
      </c>
      <c r="B3" s="9"/>
      <c r="C3" s="18"/>
      <c r="D3" s="18"/>
      <c r="E3" s="10"/>
      <c r="F3" s="10"/>
      <c r="G3" s="18"/>
      <c r="H3" s="19"/>
      <c r="I3" s="18"/>
      <c r="J3" s="12"/>
      <c r="K3" s="13"/>
      <c r="L3" s="14"/>
      <c r="M3" s="14"/>
      <c r="N3" s="13"/>
      <c r="P3" s="15"/>
    </row>
    <row r="4" s="1" customFormat="1" ht="15" customHeight="1" spans="1:16">
      <c r="A4" s="20" t="s">
        <v>3</v>
      </c>
      <c r="B4" s="20"/>
      <c r="C4" s="20"/>
      <c r="D4" s="20"/>
      <c r="E4" s="21"/>
      <c r="F4" s="22" t="s">
        <v>4</v>
      </c>
      <c r="G4" s="23"/>
      <c r="H4" s="24"/>
      <c r="I4" s="25"/>
      <c r="J4" s="26"/>
      <c r="K4" s="27"/>
      <c r="L4" s="27"/>
      <c r="M4" s="26"/>
      <c r="O4" s="15"/>
    </row>
    <row r="5" s="1" customFormat="1" ht="15" customHeight="1" spans="1:16">
      <c r="A5" s="20" t="s">
        <v>5</v>
      </c>
      <c r="B5" s="20"/>
      <c r="C5" s="20"/>
      <c r="D5" s="20"/>
      <c r="E5" s="21"/>
      <c r="F5" s="21" t="s">
        <v>6</v>
      </c>
      <c r="G5" s="28"/>
      <c r="H5" s="29"/>
      <c r="I5" s="30"/>
      <c r="J5" s="26"/>
      <c r="K5" s="27"/>
      <c r="L5" s="27"/>
      <c r="M5" s="26"/>
      <c r="O5" s="15"/>
    </row>
    <row r="6" s="1" customFormat="1" ht="23.25" customHeight="1" spans="1:16">
      <c r="A6" s="31" t="s">
        <v>7</v>
      </c>
      <c r="B6" s="9"/>
      <c r="C6" s="31"/>
      <c r="D6" s="31"/>
      <c r="E6" s="10"/>
      <c r="F6" s="10"/>
      <c r="G6" s="31"/>
      <c r="H6" s="32"/>
      <c r="I6" s="12"/>
      <c r="J6" s="26"/>
      <c r="K6" s="27"/>
      <c r="L6" s="27"/>
      <c r="M6" s="33"/>
      <c r="O6" s="15"/>
    </row>
    <row r="7" s="1" customFormat="1" ht="24" customHeight="1" spans="1:16">
      <c r="A7" s="34" t="s">
        <v>8</v>
      </c>
      <c r="B7" s="35" t="s">
        <v>9</v>
      </c>
      <c r="C7" s="36" t="s">
        <v>10</v>
      </c>
      <c r="D7" s="37" t="s">
        <v>11</v>
      </c>
      <c r="E7" s="38" t="s">
        <v>12</v>
      </c>
      <c r="F7" s="38" t="s">
        <v>13</v>
      </c>
      <c r="G7" s="39" t="s">
        <v>14</v>
      </c>
      <c r="H7" s="40" t="s">
        <v>15</v>
      </c>
      <c r="I7" s="41" t="s">
        <v>16</v>
      </c>
      <c r="J7" s="42" t="s">
        <v>17</v>
      </c>
      <c r="K7" s="27"/>
      <c r="L7" s="27"/>
      <c r="M7" s="33"/>
      <c r="O7" s="15"/>
    </row>
    <row r="8" s="2" customFormat="1" customHeight="1" spans="1:16">
      <c r="A8" s="43">
        <v>1</v>
      </c>
      <c r="B8" s="44">
        <v>45</v>
      </c>
      <c r="C8" s="45" t="s">
        <v>18</v>
      </c>
      <c r="D8" s="46">
        <v>2030</v>
      </c>
      <c r="E8" s="47">
        <v>1049.3</v>
      </c>
      <c r="F8" s="48">
        <v>1075.4</v>
      </c>
      <c r="G8" s="49">
        <v>11800</v>
      </c>
      <c r="H8" s="47">
        <f t="shared" ref="H8:H15" si="0">D8/1000*G8</f>
        <v>23954</v>
      </c>
      <c r="I8" s="50">
        <f>0.0606*H8</f>
        <v>1451.6124</v>
      </c>
      <c r="J8" s="51"/>
    </row>
    <row r="9" s="2" customFormat="1" customHeight="1" spans="1:16">
      <c r="A9" s="43">
        <v>2</v>
      </c>
      <c r="B9" s="44">
        <v>45</v>
      </c>
      <c r="C9" s="45" t="s">
        <v>18</v>
      </c>
      <c r="D9" s="46">
        <v>2030</v>
      </c>
      <c r="E9" s="47">
        <v>1026.9</v>
      </c>
      <c r="F9" s="48">
        <v>1069.3</v>
      </c>
      <c r="G9" s="49">
        <v>11650</v>
      </c>
      <c r="H9" s="47">
        <f t="shared" si="0"/>
        <v>23649.5</v>
      </c>
      <c r="I9" s="50">
        <f t="shared" ref="I9:I29" si="1">0.0606*H9</f>
        <v>1433.1597</v>
      </c>
      <c r="J9" s="51"/>
    </row>
    <row r="10" s="2" customFormat="1" customHeight="1" spans="1:16">
      <c r="A10" s="43">
        <v>3</v>
      </c>
      <c r="B10" s="44">
        <v>45</v>
      </c>
      <c r="C10" s="45" t="s">
        <v>18</v>
      </c>
      <c r="D10" s="46">
        <v>2030</v>
      </c>
      <c r="E10" s="47">
        <v>1076.3</v>
      </c>
      <c r="F10" s="48">
        <v>1095.3</v>
      </c>
      <c r="G10" s="49">
        <v>12000</v>
      </c>
      <c r="H10" s="47">
        <f t="shared" si="0"/>
        <v>24360</v>
      </c>
      <c r="I10" s="50">
        <f t="shared" si="1"/>
        <v>1476.216</v>
      </c>
      <c r="J10" s="51"/>
    </row>
    <row r="11" s="2" customFormat="1" customHeight="1" spans="1:16">
      <c r="A11" s="43">
        <v>4</v>
      </c>
      <c r="B11" s="44">
        <v>45</v>
      </c>
      <c r="C11" s="45" t="s">
        <v>18</v>
      </c>
      <c r="D11" s="46">
        <v>2030</v>
      </c>
      <c r="E11" s="47">
        <v>1058.4</v>
      </c>
      <c r="F11" s="48">
        <v>1077.4</v>
      </c>
      <c r="G11" s="49">
        <v>11800</v>
      </c>
      <c r="H11" s="47">
        <f t="shared" si="0"/>
        <v>23954</v>
      </c>
      <c r="I11" s="50">
        <f t="shared" si="1"/>
        <v>1451.6124</v>
      </c>
      <c r="J11" s="51"/>
    </row>
    <row r="12" s="3" customFormat="1" customHeight="1" spans="1:16">
      <c r="A12" s="43">
        <v>5</v>
      </c>
      <c r="B12" s="44">
        <v>45</v>
      </c>
      <c r="C12" s="45" t="s">
        <v>18</v>
      </c>
      <c r="D12" s="46">
        <v>2030</v>
      </c>
      <c r="E12" s="47">
        <v>1090.3</v>
      </c>
      <c r="F12" s="48">
        <v>1109.3</v>
      </c>
      <c r="G12" s="49">
        <v>12060</v>
      </c>
      <c r="H12" s="47">
        <f t="shared" si="0"/>
        <v>24481.8</v>
      </c>
      <c r="I12" s="50">
        <f t="shared" si="1"/>
        <v>1483.59708</v>
      </c>
      <c r="J12" s="52"/>
    </row>
    <row r="13" s="3" customFormat="1" customHeight="1" spans="1:16">
      <c r="A13" s="43">
        <v>6</v>
      </c>
      <c r="B13" s="44">
        <v>45</v>
      </c>
      <c r="C13" s="45" t="s">
        <v>18</v>
      </c>
      <c r="D13" s="46">
        <v>2030</v>
      </c>
      <c r="E13" s="47">
        <v>1077</v>
      </c>
      <c r="F13" s="48">
        <v>1096</v>
      </c>
      <c r="G13" s="49">
        <v>11960</v>
      </c>
      <c r="H13" s="47">
        <f t="shared" si="0"/>
        <v>24278.8</v>
      </c>
      <c r="I13" s="50">
        <f t="shared" si="1"/>
        <v>1471.29528</v>
      </c>
      <c r="J13" s="52"/>
    </row>
    <row r="14" s="3" customFormat="1" customHeight="1" spans="1:16">
      <c r="A14" s="43">
        <v>7</v>
      </c>
      <c r="B14" s="44">
        <v>45</v>
      </c>
      <c r="C14" s="45" t="s">
        <v>18</v>
      </c>
      <c r="D14" s="46">
        <v>2030</v>
      </c>
      <c r="E14" s="47">
        <v>1085.5</v>
      </c>
      <c r="F14" s="48">
        <v>1104.5</v>
      </c>
      <c r="G14" s="49">
        <v>12040</v>
      </c>
      <c r="H14" s="47">
        <f t="shared" si="0"/>
        <v>24441.2</v>
      </c>
      <c r="I14" s="50">
        <f t="shared" si="1"/>
        <v>1481.13672</v>
      </c>
      <c r="J14" s="52"/>
    </row>
    <row r="15" s="3" customFormat="1" customHeight="1" spans="1:16">
      <c r="A15" s="43">
        <v>8</v>
      </c>
      <c r="B15" s="44">
        <v>45</v>
      </c>
      <c r="C15" s="45" t="s">
        <v>18</v>
      </c>
      <c r="D15" s="46">
        <v>2030</v>
      </c>
      <c r="E15" s="47">
        <v>1082.4</v>
      </c>
      <c r="F15" s="48">
        <v>1101.4</v>
      </c>
      <c r="G15" s="49">
        <v>12100</v>
      </c>
      <c r="H15" s="47">
        <f t="shared" si="0"/>
        <v>24563</v>
      </c>
      <c r="I15" s="50">
        <f t="shared" si="1"/>
        <v>1488.5178</v>
      </c>
      <c r="J15" s="52"/>
    </row>
    <row r="16" s="2" customFormat="1" customHeight="1" spans="1:16">
      <c r="A16" s="43">
        <v>9</v>
      </c>
      <c r="B16" s="44">
        <v>45</v>
      </c>
      <c r="C16" s="45" t="s">
        <v>18</v>
      </c>
      <c r="D16" s="46">
        <v>2030</v>
      </c>
      <c r="E16" s="47">
        <v>1093</v>
      </c>
      <c r="F16" s="48">
        <v>1112</v>
      </c>
      <c r="G16" s="49">
        <v>12200</v>
      </c>
      <c r="H16" s="47">
        <f t="shared" ref="H16:H21" si="2">D16/1000*G16</f>
        <v>24766</v>
      </c>
      <c r="I16" s="50">
        <f t="shared" si="1"/>
        <v>1500.8196</v>
      </c>
      <c r="J16" s="51"/>
    </row>
    <row r="17" s="2" customFormat="1" customHeight="1" spans="1:10">
      <c r="A17" s="43">
        <v>10</v>
      </c>
      <c r="B17" s="44">
        <v>45</v>
      </c>
      <c r="C17" s="45" t="s">
        <v>18</v>
      </c>
      <c r="D17" s="46">
        <v>2030</v>
      </c>
      <c r="E17" s="47">
        <v>1090.6</v>
      </c>
      <c r="F17" s="48">
        <v>1109.6</v>
      </c>
      <c r="G17" s="49">
        <v>12100</v>
      </c>
      <c r="H17" s="47">
        <f t="shared" si="2"/>
        <v>24563</v>
      </c>
      <c r="I17" s="50">
        <f t="shared" si="1"/>
        <v>1488.5178</v>
      </c>
      <c r="J17" s="51"/>
    </row>
    <row r="18" s="2" customFormat="1" customHeight="1" spans="1:10">
      <c r="A18" s="43">
        <v>11</v>
      </c>
      <c r="B18" s="44">
        <v>45</v>
      </c>
      <c r="C18" s="45" t="s">
        <v>18</v>
      </c>
      <c r="D18" s="46">
        <v>2030</v>
      </c>
      <c r="E18" s="47">
        <v>1090</v>
      </c>
      <c r="F18" s="48">
        <v>1109</v>
      </c>
      <c r="G18" s="49">
        <v>12050</v>
      </c>
      <c r="H18" s="47">
        <f t="shared" si="2"/>
        <v>24461.5</v>
      </c>
      <c r="I18" s="50">
        <f t="shared" si="1"/>
        <v>1482.3669</v>
      </c>
      <c r="J18" s="51"/>
    </row>
    <row r="19" s="2" customFormat="1" customHeight="1" spans="1:10">
      <c r="A19" s="43">
        <v>12</v>
      </c>
      <c r="B19" s="44">
        <v>45</v>
      </c>
      <c r="C19" s="45" t="s">
        <v>18</v>
      </c>
      <c r="D19" s="46">
        <v>2030</v>
      </c>
      <c r="E19" s="47">
        <v>1089.3</v>
      </c>
      <c r="F19" s="48">
        <v>1108.3</v>
      </c>
      <c r="G19" s="49">
        <v>12050</v>
      </c>
      <c r="H19" s="47">
        <f t="shared" si="2"/>
        <v>24461.5</v>
      </c>
      <c r="I19" s="50">
        <f t="shared" si="1"/>
        <v>1482.3669</v>
      </c>
      <c r="J19" s="51"/>
    </row>
    <row r="20" s="2" customFormat="1" customHeight="1" spans="1:10">
      <c r="A20" s="43">
        <v>13</v>
      </c>
      <c r="B20" s="44">
        <v>45</v>
      </c>
      <c r="C20" s="45" t="s">
        <v>18</v>
      </c>
      <c r="D20" s="46">
        <v>2030</v>
      </c>
      <c r="E20" s="47">
        <v>1085.8</v>
      </c>
      <c r="F20" s="48">
        <v>1104.8</v>
      </c>
      <c r="G20" s="49">
        <v>12000</v>
      </c>
      <c r="H20" s="47">
        <f t="shared" si="2"/>
        <v>24360</v>
      </c>
      <c r="I20" s="50">
        <f t="shared" si="1"/>
        <v>1476.216</v>
      </c>
      <c r="J20" s="51"/>
    </row>
    <row r="21" s="2" customFormat="1" customHeight="1" spans="1:10">
      <c r="A21" s="43">
        <v>14</v>
      </c>
      <c r="B21" s="44">
        <v>45</v>
      </c>
      <c r="C21" s="45" t="s">
        <v>18</v>
      </c>
      <c r="D21" s="46">
        <v>2030</v>
      </c>
      <c r="E21" s="47">
        <v>1086.4</v>
      </c>
      <c r="F21" s="48">
        <v>1105.4</v>
      </c>
      <c r="G21" s="49">
        <v>12040</v>
      </c>
      <c r="H21" s="47">
        <f t="shared" si="2"/>
        <v>24441.2</v>
      </c>
      <c r="I21" s="50">
        <f t="shared" si="1"/>
        <v>1481.13672</v>
      </c>
      <c r="J21" s="51"/>
    </row>
    <row r="22" s="2" customFormat="1" customHeight="1" spans="1:10">
      <c r="A22" s="43">
        <v>15</v>
      </c>
      <c r="B22" s="44">
        <v>45</v>
      </c>
      <c r="C22" s="45" t="s">
        <v>18</v>
      </c>
      <c r="D22" s="46">
        <v>2030</v>
      </c>
      <c r="E22" s="47">
        <v>1084.3</v>
      </c>
      <c r="F22" s="48">
        <v>1103.3</v>
      </c>
      <c r="G22" s="49">
        <v>12070</v>
      </c>
      <c r="H22" s="47">
        <f t="shared" ref="H22:H33" si="3">D22/1000*G22</f>
        <v>24502.1</v>
      </c>
      <c r="I22" s="50">
        <f t="shared" si="1"/>
        <v>1484.82726</v>
      </c>
      <c r="J22" s="51"/>
    </row>
    <row r="23" s="2" customFormat="1" customHeight="1" spans="1:10">
      <c r="A23" s="43">
        <v>16</v>
      </c>
      <c r="B23" s="44">
        <v>45</v>
      </c>
      <c r="C23" s="45" t="s">
        <v>18</v>
      </c>
      <c r="D23" s="46">
        <v>2030</v>
      </c>
      <c r="E23" s="47">
        <v>1087.1</v>
      </c>
      <c r="F23" s="48">
        <v>1106.1</v>
      </c>
      <c r="G23" s="49">
        <v>12010</v>
      </c>
      <c r="H23" s="47">
        <f t="shared" si="3"/>
        <v>24380.3</v>
      </c>
      <c r="I23" s="50">
        <f t="shared" si="1"/>
        <v>1477.44618</v>
      </c>
      <c r="J23" s="51"/>
    </row>
    <row r="24" s="2" customFormat="1" customHeight="1" spans="1:10">
      <c r="A24" s="43">
        <v>17</v>
      </c>
      <c r="B24" s="44">
        <v>45</v>
      </c>
      <c r="C24" s="45" t="s">
        <v>18</v>
      </c>
      <c r="D24" s="46">
        <v>2030</v>
      </c>
      <c r="E24" s="47">
        <v>1082.9</v>
      </c>
      <c r="F24" s="48">
        <v>1101.9</v>
      </c>
      <c r="G24" s="49">
        <v>12000</v>
      </c>
      <c r="H24" s="47">
        <f t="shared" si="3"/>
        <v>24360</v>
      </c>
      <c r="I24" s="50">
        <f t="shared" si="1"/>
        <v>1476.216</v>
      </c>
      <c r="J24" s="51"/>
    </row>
    <row r="25" s="2" customFormat="1" customHeight="1" spans="1:10">
      <c r="A25" s="43">
        <v>18</v>
      </c>
      <c r="B25" s="44">
        <v>45</v>
      </c>
      <c r="C25" s="45" t="s">
        <v>18</v>
      </c>
      <c r="D25" s="46">
        <v>2030</v>
      </c>
      <c r="E25" s="47">
        <v>1098.3</v>
      </c>
      <c r="F25" s="48">
        <v>1120</v>
      </c>
      <c r="G25" s="49">
        <v>12070</v>
      </c>
      <c r="H25" s="47">
        <f t="shared" si="3"/>
        <v>24502.1</v>
      </c>
      <c r="I25" s="50">
        <f t="shared" si="1"/>
        <v>1484.82726</v>
      </c>
      <c r="J25" s="51"/>
    </row>
    <row r="26" s="2" customFormat="1" customHeight="1" spans="1:10">
      <c r="A26" s="43">
        <v>19</v>
      </c>
      <c r="B26" s="44">
        <v>45</v>
      </c>
      <c r="C26" s="45" t="s">
        <v>18</v>
      </c>
      <c r="D26" s="46">
        <v>2030</v>
      </c>
      <c r="E26" s="47">
        <v>1094.2</v>
      </c>
      <c r="F26" s="48">
        <v>1115</v>
      </c>
      <c r="G26" s="49">
        <v>12010</v>
      </c>
      <c r="H26" s="47">
        <f t="shared" si="3"/>
        <v>24380.3</v>
      </c>
      <c r="I26" s="50">
        <f t="shared" si="1"/>
        <v>1477.44618</v>
      </c>
      <c r="J26" s="51"/>
    </row>
    <row r="27" s="2" customFormat="1" customHeight="1" spans="1:10">
      <c r="A27" s="43">
        <v>20</v>
      </c>
      <c r="B27" s="44">
        <v>45</v>
      </c>
      <c r="C27" s="45" t="s">
        <v>18</v>
      </c>
      <c r="D27" s="46">
        <v>2030</v>
      </c>
      <c r="E27" s="47">
        <v>960.4</v>
      </c>
      <c r="F27" s="48">
        <v>979.4</v>
      </c>
      <c r="G27" s="49">
        <v>10620</v>
      </c>
      <c r="H27" s="47">
        <f t="shared" si="3"/>
        <v>21558.6</v>
      </c>
      <c r="I27" s="50">
        <f t="shared" si="1"/>
        <v>1306.45116</v>
      </c>
      <c r="J27" s="51"/>
    </row>
    <row r="28" s="2" customFormat="1" customHeight="1" spans="1:10">
      <c r="A28" s="43">
        <v>21</v>
      </c>
      <c r="B28" s="44">
        <v>45</v>
      </c>
      <c r="C28" s="45" t="s">
        <v>18</v>
      </c>
      <c r="D28" s="46">
        <v>2030</v>
      </c>
      <c r="E28" s="47">
        <v>1168.1</v>
      </c>
      <c r="F28" s="48">
        <v>1189.8</v>
      </c>
      <c r="G28" s="49">
        <v>13010</v>
      </c>
      <c r="H28" s="47">
        <f t="shared" si="3"/>
        <v>26410.3</v>
      </c>
      <c r="I28" s="50">
        <f t="shared" si="1"/>
        <v>1600.46418</v>
      </c>
      <c r="J28" s="51"/>
    </row>
    <row r="29" s="2" customFormat="1" customHeight="1" spans="1:10">
      <c r="A29" s="43">
        <v>22</v>
      </c>
      <c r="B29" s="44">
        <v>45</v>
      </c>
      <c r="C29" s="45" t="s">
        <v>18</v>
      </c>
      <c r="D29" s="46">
        <v>2030</v>
      </c>
      <c r="E29" s="47">
        <v>1074.4</v>
      </c>
      <c r="F29" s="48">
        <v>1093.4</v>
      </c>
      <c r="G29" s="49">
        <v>12000</v>
      </c>
      <c r="H29" s="47">
        <f t="shared" si="3"/>
        <v>24360</v>
      </c>
      <c r="I29" s="50">
        <f t="shared" si="1"/>
        <v>1476.216</v>
      </c>
      <c r="J29" s="51"/>
    </row>
    <row r="30" s="2" customFormat="1" customHeight="1" spans="1:10">
      <c r="A30" s="43"/>
      <c r="B30" s="53">
        <v>22</v>
      </c>
      <c r="C30" s="54"/>
      <c r="D30" s="55"/>
      <c r="E30" s="56">
        <f>SUM(E8:E29)</f>
        <v>23730.9</v>
      </c>
      <c r="F30" s="56">
        <f>SUM(F8:F29)</f>
        <v>24186.6</v>
      </c>
      <c r="G30" s="56">
        <f>SUM(G8:G29)</f>
        <v>263640</v>
      </c>
      <c r="H30" s="56">
        <f>SUM(H8:H29)</f>
        <v>535189.2</v>
      </c>
      <c r="I30" s="57">
        <f>SUM(I8:I29)</f>
        <v>32432.46552</v>
      </c>
      <c r="J30" s="52" t="s">
        <v>19</v>
      </c>
    </row>
    <row r="31" s="2" customFormat="1" customHeight="1" spans="1:10">
      <c r="A31" s="43">
        <v>23</v>
      </c>
      <c r="B31" s="44">
        <v>48</v>
      </c>
      <c r="C31" s="45" t="s">
        <v>18</v>
      </c>
      <c r="D31" s="46">
        <v>1600</v>
      </c>
      <c r="E31" s="47">
        <v>537.5</v>
      </c>
      <c r="F31" s="48">
        <v>542</v>
      </c>
      <c r="G31" s="49">
        <v>7020</v>
      </c>
      <c r="H31" s="47">
        <f>D31/1000*G31</f>
        <v>11232</v>
      </c>
      <c r="I31" s="50">
        <f>0.0695*H31</f>
        <v>780.624</v>
      </c>
      <c r="J31" s="51"/>
    </row>
    <row r="32" s="2" customFormat="1" customHeight="1" spans="1:10">
      <c r="A32" s="43">
        <v>24</v>
      </c>
      <c r="B32" s="44">
        <v>48</v>
      </c>
      <c r="C32" s="45" t="s">
        <v>18</v>
      </c>
      <c r="D32" s="46">
        <v>1600</v>
      </c>
      <c r="E32" s="47">
        <v>580.1</v>
      </c>
      <c r="F32" s="48">
        <v>586.1</v>
      </c>
      <c r="G32" s="49">
        <v>7789</v>
      </c>
      <c r="H32" s="47">
        <f>D32/1000*G32</f>
        <v>12462.4</v>
      </c>
      <c r="I32" s="50">
        <f>0.0695*H32</f>
        <v>866.1368</v>
      </c>
      <c r="J32" s="51"/>
    </row>
    <row r="33" s="3" customFormat="1" ht="16" customHeight="1" spans="1:10">
      <c r="A33" s="58"/>
      <c r="B33" s="53">
        <v>2</v>
      </c>
      <c r="C33" s="54"/>
      <c r="D33" s="55"/>
      <c r="E33" s="56">
        <f>SUM(E31:E32)</f>
        <v>1117.6</v>
      </c>
      <c r="F33" s="56">
        <f>SUM(F31:F32)</f>
        <v>1128.1</v>
      </c>
      <c r="G33" s="56">
        <f>SUM(G31:G32)</f>
        <v>14809</v>
      </c>
      <c r="H33" s="56">
        <f>SUM(H31:H32)</f>
        <v>23694.4</v>
      </c>
      <c r="I33" s="57">
        <f>SUM(I31:I32)</f>
        <v>1646.7608</v>
      </c>
      <c r="J33" s="52" t="s">
        <v>20</v>
      </c>
    </row>
    <row r="34" s="3" customFormat="1" ht="16" customHeight="1" spans="1:10">
      <c r="A34" s="58"/>
      <c r="B34" s="53"/>
      <c r="C34" s="54"/>
      <c r="D34" s="59" t="s">
        <v>21</v>
      </c>
      <c r="E34" s="60"/>
      <c r="F34" s="56">
        <f>23*25</f>
        <v>575</v>
      </c>
      <c r="G34" s="56"/>
      <c r="H34" s="56"/>
      <c r="I34" s="57"/>
      <c r="J34" s="52"/>
    </row>
    <row r="35" s="2" customFormat="1" customHeight="1" spans="1:10">
      <c r="A35" s="61" t="s">
        <v>22</v>
      </c>
      <c r="B35" s="62">
        <f t="shared" ref="B35:I35" si="4">B33+B30</f>
        <v>24</v>
      </c>
      <c r="C35" s="63" t="s">
        <v>23</v>
      </c>
      <c r="D35" s="64"/>
      <c r="E35" s="65">
        <f>E33+E30</f>
        <v>24848.5</v>
      </c>
      <c r="F35" s="65">
        <f>F33+F30+F34</f>
        <v>25889.7</v>
      </c>
      <c r="G35" s="65">
        <f t="shared" si="4"/>
        <v>278449</v>
      </c>
      <c r="H35" s="65">
        <f t="shared" si="4"/>
        <v>558883.6</v>
      </c>
      <c r="I35" s="66">
        <f t="shared" si="4"/>
        <v>34079.22632</v>
      </c>
      <c r="J35" s="51"/>
    </row>
    <row r="36" customHeight="1" spans="1:10">
      <c r="B36" s="67" t="s">
        <v>24</v>
      </c>
      <c r="E36" s="68"/>
      <c r="F36" s="68"/>
      <c r="G36" s="69"/>
      <c r="H36" s="68"/>
      <c r="I36" s="70"/>
    </row>
  </sheetData>
  <autoFilter xmlns:etc="http://www.wps.cn/officeDocument/2017/etCustomData" ref="A7:P36" etc:filterBottomFollowUsedRange="0">
    <extLst/>
  </autoFilter>
  <mergeCells count="9">
    <mergeCell ref="A1:J1"/>
    <mergeCell ref="A2:J2"/>
    <mergeCell ref="A3:J3"/>
    <mergeCell ref="A4:E4"/>
    <mergeCell ref="F4:I4"/>
    <mergeCell ref="A5:E5"/>
    <mergeCell ref="F5:I5"/>
    <mergeCell ref="A6:I6"/>
    <mergeCell ref="D34:E34"/>
  </mergeCells>
  <pageMargins left="0.75" right="0.75" top="1" bottom="1" header="0.511805555555556" footer="0.511805555555556"/>
  <pageSetup paperSize="9" scale="3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WPS_1564819140</cp:lastModifiedBy>
  <dcterms:created xsi:type="dcterms:W3CDTF">2015-06-05T18:19:00Z</dcterms:created>
  <dcterms:modified xsi:type="dcterms:W3CDTF">2026-06-23T02:26:52Z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3E16E16F49FD45B6B1AC7EDC40D94C18</vt:lpwstr>
  </property>
  <property fmtid="{D5CDD505-2E9C-101B-9397-08002B2CF9AE}" pid="4" name="CalculationRule">
    <vt:i4>0</vt:i4>
  </property>
</Properties>
</file>